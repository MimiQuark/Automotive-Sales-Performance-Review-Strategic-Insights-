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仪表板" sheetId="1" state="visible" r:id="rId1"/>
    <sheet name="月度销售趋势" sheetId="2" state="visible" r:id="rId2"/>
    <sheet name="区域分布" sheetId="3" state="visible" r:id="rId3"/>
    <sheet name="品牌车型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2B5B84"/>
      <sz val="16"/>
    </font>
    <font>
      <name val="微软雅黑"/>
      <color rgb="00666666"/>
      <sz val="11"/>
    </font>
    <font>
      <name val="微软雅黑"/>
      <b val="1"/>
      <color rgb="002B5B84"/>
      <sz val="28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B5B84"/>
        <bgColor rgb="002B5B84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月度销售额趋势</a:t>
            </a:r>
          </a:p>
        </rich>
      </tx>
    </title>
    <plotArea>
      <lineChart>
        <grouping val="standard"/>
        <ser>
          <idx val="0"/>
          <order val="0"/>
          <tx>
            <strRef>
              <f>'月度销售趋势'!B3</f>
            </strRef>
          </tx>
          <spPr>
            <a:ln w="25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'月度销售趋势'!$A$4:$A$39</f>
            </numRef>
          </cat>
          <val>
            <numRef>
              <f>'月度销售趋势'!$B$4:$B$39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销售额（万）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各区域销售额占比</a:t>
            </a:r>
          </a:p>
        </rich>
      </tx>
    </title>
    <plotArea>
      <pieChart>
        <varyColors val="1"/>
        <ser>
          <idx val="0"/>
          <order val="0"/>
          <tx>
            <strRef>
              <f>'区域分布'!B3</f>
            </strRef>
          </tx>
          <spPr>
            <a:ln>
              <a:prstDash val="solid"/>
            </a:ln>
          </spPr>
          <cat>
            <numRef>
              <f>'区域分布'!$A$4:$A$10</f>
            </numRef>
          </cat>
          <val>
            <numRef>
              <f>'区域分布'!$B$4:$B$10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各品牌销售额对比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'品牌车型分析'!B3</f>
            </strRef>
          </tx>
          <spPr>
            <a:solidFill>
              <a:srgbClr val="2B5B84"/>
            </a:solidFill>
            <a:ln>
              <a:prstDash val="solid"/>
            </a:ln>
          </spPr>
          <cat>
            <numRef>
              <f>'品牌车型分析'!$A$4:$A$10</f>
            </numRef>
          </cat>
          <val>
            <numRef>
              <f>'品牌车型分析'!$B$4:$B$10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销售额（万）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39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002B5B84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3" max="3"/>
    <col width="20" customWidth="1" min="5" max="5"/>
    <col width="20" customWidth="1" min="7" max="7"/>
  </cols>
  <sheetData>
    <row r="1" ht="40" customHeight="1">
      <c r="A1" s="1" t="inlineStr">
        <is>
          <t>汽车销售 BI 分析看板</t>
        </is>
      </c>
    </row>
    <row r="2" ht="25" customHeight="1">
      <c r="C2" s="2" t="inlineStr">
        <is>
          <t>总销售额（亿）</t>
        </is>
      </c>
      <c r="E2" s="2" t="inlineStr">
        <is>
          <t>总订单数</t>
        </is>
      </c>
      <c r="G2" s="2" t="inlineStr">
        <is>
          <t>客单价（万）</t>
        </is>
      </c>
    </row>
    <row r="3" ht="50" customHeight="1">
      <c r="C3" s="3" t="inlineStr">
        <is>
          <t>181.7</t>
        </is>
      </c>
      <c r="E3" s="3" t="inlineStr">
        <is>
          <t>80,000</t>
        </is>
      </c>
      <c r="G3" s="3" t="inlineStr">
        <is>
          <t>22.7</t>
        </is>
      </c>
    </row>
    <row r="5" ht="25" customHeight="1">
      <c r="C5" s="2" t="inlineStr">
        <is>
          <t>平均折扣率</t>
        </is>
      </c>
      <c r="E5" s="2" t="inlineStr">
        <is>
          <t>贷款/分期占比</t>
        </is>
      </c>
      <c r="G5" s="2" t="inlineStr">
        <is>
          <t>品牌数量</t>
        </is>
      </c>
    </row>
    <row r="6" ht="50" customHeight="1">
      <c r="C6" s="3" t="inlineStr">
        <is>
          <t>8.1%</t>
        </is>
      </c>
      <c r="E6" s="3" t="inlineStr">
        <is>
          <t>69.7%</t>
        </is>
      </c>
      <c r="G6" s="3" t="inlineStr">
        <is>
          <t>7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D8066"/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</cols>
  <sheetData>
    <row r="1">
      <c r="A1" s="4" t="inlineStr">
        <is>
          <t>月度销售趋势明细</t>
        </is>
      </c>
    </row>
    <row r="3">
      <c r="A3" s="5" t="inlineStr">
        <is>
          <t>月份</t>
        </is>
      </c>
      <c r="B3" s="5" t="inlineStr">
        <is>
          <t>销售额（万）</t>
        </is>
      </c>
      <c r="C3" s="5" t="inlineStr">
        <is>
          <t>订单数</t>
        </is>
      </c>
    </row>
    <row r="4">
      <c r="A4" s="6" t="inlineStr">
        <is>
          <t>2023-01</t>
        </is>
      </c>
      <c r="B4" s="6" t="n">
        <v>51276.74</v>
      </c>
      <c r="C4" s="6" t="n">
        <v>2242</v>
      </c>
    </row>
    <row r="5">
      <c r="A5" s="6" t="inlineStr">
        <is>
          <t>2023-02</t>
        </is>
      </c>
      <c r="B5" s="6" t="n">
        <v>27353.11</v>
      </c>
      <c r="C5" s="6" t="n">
        <v>1199</v>
      </c>
    </row>
    <row r="6">
      <c r="A6" s="6" t="inlineStr">
        <is>
          <t>2023-03</t>
        </is>
      </c>
      <c r="B6" s="6" t="n">
        <v>60857.94</v>
      </c>
      <c r="C6" s="6" t="n">
        <v>2698</v>
      </c>
    </row>
    <row r="7">
      <c r="A7" s="6" t="inlineStr">
        <is>
          <t>2023-04</t>
        </is>
      </c>
      <c r="B7" s="6" t="n">
        <v>53699</v>
      </c>
      <c r="C7" s="6" t="n">
        <v>2382</v>
      </c>
    </row>
    <row r="8">
      <c r="A8" s="6" t="inlineStr">
        <is>
          <t>2023-05</t>
        </is>
      </c>
      <c r="B8" s="6" t="n">
        <v>51001.76</v>
      </c>
      <c r="C8" s="6" t="n">
        <v>2232</v>
      </c>
    </row>
    <row r="9">
      <c r="A9" s="6" t="inlineStr">
        <is>
          <t>2023-06</t>
        </is>
      </c>
      <c r="B9" s="6" t="n">
        <v>45603.26</v>
      </c>
      <c r="C9" s="6" t="n">
        <v>2007</v>
      </c>
    </row>
    <row r="10">
      <c r="A10" s="6" t="inlineStr">
        <is>
          <t>2023-07</t>
        </is>
      </c>
      <c r="B10" s="6" t="n">
        <v>40423.53</v>
      </c>
      <c r="C10" s="6" t="n">
        <v>1770</v>
      </c>
    </row>
    <row r="11">
      <c r="A11" s="6" t="inlineStr">
        <is>
          <t>2023-08</t>
        </is>
      </c>
      <c r="B11" s="6" t="n">
        <v>39619.85</v>
      </c>
      <c r="C11" s="6" t="n">
        <v>1733</v>
      </c>
    </row>
    <row r="12">
      <c r="A12" s="6" t="inlineStr">
        <is>
          <t>2023-09</t>
        </is>
      </c>
      <c r="B12" s="6" t="n">
        <v>54741.24</v>
      </c>
      <c r="C12" s="6" t="n">
        <v>2379</v>
      </c>
    </row>
    <row r="13">
      <c r="A13" s="6" t="inlineStr">
        <is>
          <t>2023-10</t>
        </is>
      </c>
      <c r="B13" s="6" t="n">
        <v>52738.21</v>
      </c>
      <c r="C13" s="6" t="n">
        <v>2300</v>
      </c>
    </row>
    <row r="14">
      <c r="A14" s="6" t="inlineStr">
        <is>
          <t>2023-11</t>
        </is>
      </c>
      <c r="B14" s="6" t="n">
        <v>52414.37</v>
      </c>
      <c r="C14" s="6" t="n">
        <v>2342</v>
      </c>
    </row>
    <row r="15">
      <c r="A15" s="6" t="inlineStr">
        <is>
          <t>2023-12</t>
        </is>
      </c>
      <c r="B15" s="6" t="n">
        <v>74862.24000000001</v>
      </c>
      <c r="C15" s="6" t="n">
        <v>3344</v>
      </c>
    </row>
    <row r="16">
      <c r="A16" s="6" t="inlineStr">
        <is>
          <t>2024-01</t>
        </is>
      </c>
      <c r="B16" s="6" t="n">
        <v>50586.27</v>
      </c>
      <c r="C16" s="6" t="n">
        <v>2216</v>
      </c>
    </row>
    <row r="17">
      <c r="A17" s="6" t="inlineStr">
        <is>
          <t>2024-02</t>
        </is>
      </c>
      <c r="B17" s="6" t="n">
        <v>28552.99</v>
      </c>
      <c r="C17" s="6" t="n">
        <v>1248</v>
      </c>
    </row>
    <row r="18">
      <c r="A18" s="6" t="inlineStr">
        <is>
          <t>2024-03</t>
        </is>
      </c>
      <c r="B18" s="6" t="n">
        <v>57286.04</v>
      </c>
      <c r="C18" s="6" t="n">
        <v>2528</v>
      </c>
    </row>
    <row r="19">
      <c r="A19" s="6" t="inlineStr">
        <is>
          <t>2024-04</t>
        </is>
      </c>
      <c r="B19" s="6" t="n">
        <v>54579.68</v>
      </c>
      <c r="C19" s="6" t="n">
        <v>2395</v>
      </c>
    </row>
    <row r="20">
      <c r="A20" s="6" t="inlineStr">
        <is>
          <t>2024-05</t>
        </is>
      </c>
      <c r="B20" s="6" t="n">
        <v>50536.7</v>
      </c>
      <c r="C20" s="6" t="n">
        <v>2249</v>
      </c>
    </row>
    <row r="21">
      <c r="A21" s="6" t="inlineStr">
        <is>
          <t>2024-06</t>
        </is>
      </c>
      <c r="B21" s="6" t="n">
        <v>44962.32</v>
      </c>
      <c r="C21" s="6" t="n">
        <v>1947</v>
      </c>
    </row>
    <row r="22">
      <c r="A22" s="6" t="inlineStr">
        <is>
          <t>2024-07</t>
        </is>
      </c>
      <c r="B22" s="6" t="n">
        <v>40720.28</v>
      </c>
      <c r="C22" s="6" t="n">
        <v>1803</v>
      </c>
    </row>
    <row r="23">
      <c r="A23" s="6" t="inlineStr">
        <is>
          <t>2024-08</t>
        </is>
      </c>
      <c r="B23" s="6" t="n">
        <v>41306.12</v>
      </c>
      <c r="C23" s="6" t="n">
        <v>1792</v>
      </c>
    </row>
    <row r="24">
      <c r="A24" s="6" t="inlineStr">
        <is>
          <t>2024-09</t>
        </is>
      </c>
      <c r="B24" s="6" t="n">
        <v>54321.52</v>
      </c>
      <c r="C24" s="6" t="n">
        <v>2415</v>
      </c>
    </row>
    <row r="25">
      <c r="A25" s="6" t="inlineStr">
        <is>
          <t>2024-10</t>
        </is>
      </c>
      <c r="B25" s="6" t="n">
        <v>47609.95</v>
      </c>
      <c r="C25" s="6" t="n">
        <v>2162</v>
      </c>
    </row>
    <row r="26">
      <c r="A26" s="6" t="inlineStr">
        <is>
          <t>2024-11</t>
        </is>
      </c>
      <c r="B26" s="6" t="n">
        <v>55154.7</v>
      </c>
      <c r="C26" s="6" t="n">
        <v>2406</v>
      </c>
    </row>
    <row r="27">
      <c r="A27" s="6" t="inlineStr">
        <is>
          <t>2024-12</t>
        </is>
      </c>
      <c r="B27" s="6" t="n">
        <v>77007.42999999999</v>
      </c>
      <c r="C27" s="6" t="n">
        <v>3365</v>
      </c>
    </row>
    <row r="28">
      <c r="A28" s="6" t="inlineStr">
        <is>
          <t>2025-01</t>
        </is>
      </c>
      <c r="B28" s="6" t="n">
        <v>51292.28</v>
      </c>
      <c r="C28" s="6" t="n">
        <v>2271</v>
      </c>
    </row>
    <row r="29">
      <c r="A29" s="6" t="inlineStr">
        <is>
          <t>2025-02</t>
        </is>
      </c>
      <c r="B29" s="6" t="n">
        <v>30870.62</v>
      </c>
      <c r="C29" s="6" t="n">
        <v>1314</v>
      </c>
    </row>
    <row r="30">
      <c r="A30" s="6" t="inlineStr">
        <is>
          <t>2025-03</t>
        </is>
      </c>
      <c r="B30" s="6" t="n">
        <v>61017.72</v>
      </c>
      <c r="C30" s="6" t="n">
        <v>2660</v>
      </c>
    </row>
    <row r="31">
      <c r="A31" s="6" t="inlineStr">
        <is>
          <t>2025-04</t>
        </is>
      </c>
      <c r="B31" s="6" t="n">
        <v>55777.89</v>
      </c>
      <c r="C31" s="6" t="n">
        <v>2472</v>
      </c>
    </row>
    <row r="32">
      <c r="A32" s="6" t="inlineStr">
        <is>
          <t>2025-05</t>
        </is>
      </c>
      <c r="B32" s="6" t="n">
        <v>50975.08</v>
      </c>
      <c r="C32" s="6" t="n">
        <v>2240</v>
      </c>
    </row>
    <row r="33">
      <c r="A33" s="6" t="inlineStr">
        <is>
          <t>2025-06</t>
        </is>
      </c>
      <c r="B33" s="6" t="n">
        <v>43983.94</v>
      </c>
      <c r="C33" s="6" t="n">
        <v>1946</v>
      </c>
    </row>
    <row r="34">
      <c r="A34" s="6" t="inlineStr">
        <is>
          <t>2025-07</t>
        </is>
      </c>
      <c r="B34" s="6" t="n">
        <v>39975.91</v>
      </c>
      <c r="C34" s="6" t="n">
        <v>1773</v>
      </c>
    </row>
    <row r="35">
      <c r="A35" s="6" t="inlineStr">
        <is>
          <t>2025-08</t>
        </is>
      </c>
      <c r="B35" s="6" t="n">
        <v>42229.19</v>
      </c>
      <c r="C35" s="6" t="n">
        <v>1831</v>
      </c>
    </row>
    <row r="36">
      <c r="A36" s="6" t="inlineStr">
        <is>
          <t>2025-09</t>
        </is>
      </c>
      <c r="B36" s="6" t="n">
        <v>54005.83</v>
      </c>
      <c r="C36" s="6" t="n">
        <v>2363</v>
      </c>
    </row>
    <row r="37">
      <c r="A37" s="6" t="inlineStr">
        <is>
          <t>2025-10</t>
        </is>
      </c>
      <c r="B37" s="6" t="n">
        <v>51413.14</v>
      </c>
      <c r="C37" s="6" t="n">
        <v>2281</v>
      </c>
    </row>
    <row r="38">
      <c r="A38" s="6" t="inlineStr">
        <is>
          <t>2025-11</t>
        </is>
      </c>
      <c r="B38" s="6" t="n">
        <v>50902.8</v>
      </c>
      <c r="C38" s="6" t="n">
        <v>2280</v>
      </c>
    </row>
    <row r="39">
      <c r="A39" s="6" t="inlineStr">
        <is>
          <t>2025-12</t>
        </is>
      </c>
      <c r="B39" s="6" t="n">
        <v>77460.50999999999</v>
      </c>
      <c r="C39" s="6" t="n">
        <v>3415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0504D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</cols>
  <sheetData>
    <row r="1">
      <c r="A1" s="4" t="inlineStr">
        <is>
          <t>区域销售分布</t>
        </is>
      </c>
    </row>
    <row r="3">
      <c r="A3" s="5" t="inlineStr">
        <is>
          <t>区域</t>
        </is>
      </c>
      <c r="B3" s="5" t="inlineStr">
        <is>
          <t>销售额（万）</t>
        </is>
      </c>
      <c r="C3" s="5" t="inlineStr">
        <is>
          <t>订单数</t>
        </is>
      </c>
      <c r="D3" s="5" t="inlineStr">
        <is>
          <t>客单价（万）</t>
        </is>
      </c>
    </row>
    <row r="4">
      <c r="A4" s="6" t="inlineStr">
        <is>
          <t>华北区</t>
        </is>
      </c>
      <c r="B4" s="6" t="n">
        <v>318520.04</v>
      </c>
      <c r="C4" s="6" t="n">
        <v>14120</v>
      </c>
      <c r="D4" s="6" t="n">
        <v>22.56</v>
      </c>
    </row>
    <row r="5">
      <c r="A5" s="6" t="inlineStr">
        <is>
          <t>华南区</t>
        </is>
      </c>
      <c r="B5" s="6" t="n">
        <v>302350.18</v>
      </c>
      <c r="C5" s="6" t="n">
        <v>13275</v>
      </c>
      <c r="D5" s="6" t="n">
        <v>22.78</v>
      </c>
    </row>
    <row r="6">
      <c r="A6" s="6" t="inlineStr">
        <is>
          <t>华东区</t>
        </is>
      </c>
      <c r="B6" s="6" t="n">
        <v>300269.85</v>
      </c>
      <c r="C6" s="6" t="n">
        <v>13152</v>
      </c>
      <c r="D6" s="6" t="n">
        <v>22.83</v>
      </c>
    </row>
    <row r="7">
      <c r="A7" s="6" t="inlineStr">
        <is>
          <t>东北区</t>
        </is>
      </c>
      <c r="B7" s="6" t="n">
        <v>283712.08</v>
      </c>
      <c r="C7" s="6" t="n">
        <v>12473</v>
      </c>
      <c r="D7" s="6" t="n">
        <v>22.75</v>
      </c>
    </row>
    <row r="8">
      <c r="A8" s="6" t="inlineStr">
        <is>
          <t>西南区</t>
        </is>
      </c>
      <c r="B8" s="6" t="n">
        <v>259634.78</v>
      </c>
      <c r="C8" s="6" t="n">
        <v>11524</v>
      </c>
      <c r="D8" s="6" t="n">
        <v>22.53</v>
      </c>
    </row>
    <row r="9">
      <c r="A9" s="6" t="inlineStr">
        <is>
          <t>西北区</t>
        </is>
      </c>
      <c r="B9" s="6" t="n">
        <v>192736.09</v>
      </c>
      <c r="C9" s="6" t="n">
        <v>8448</v>
      </c>
      <c r="D9" s="6" t="n">
        <v>22.81</v>
      </c>
    </row>
    <row r="10">
      <c r="A10" s="6" t="inlineStr">
        <is>
          <t>华中区</t>
        </is>
      </c>
      <c r="B10" s="6" t="n">
        <v>159897.14</v>
      </c>
      <c r="C10" s="6" t="n">
        <v>7008</v>
      </c>
      <c r="D10" s="6" t="n">
        <v>22.82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7EA8C4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</cols>
  <sheetData>
    <row r="1">
      <c r="A1" s="4" t="inlineStr">
        <is>
          <t>品牌销售排名</t>
        </is>
      </c>
    </row>
    <row r="3">
      <c r="A3" s="5" t="inlineStr">
        <is>
          <t>品牌</t>
        </is>
      </c>
      <c r="B3" s="5" t="inlineStr">
        <is>
          <t>销售额（万）</t>
        </is>
      </c>
      <c r="C3" s="5" t="inlineStr">
        <is>
          <t>订单数</t>
        </is>
      </c>
      <c r="D3" s="5" t="inlineStr">
        <is>
          <t>客单价（万）</t>
        </is>
      </c>
    </row>
    <row r="4">
      <c r="A4" s="6" t="inlineStr">
        <is>
          <t>大众</t>
        </is>
      </c>
      <c r="B4" s="6" t="n">
        <v>349903.72</v>
      </c>
      <c r="C4" s="6" t="n">
        <v>13919</v>
      </c>
      <c r="D4" s="6" t="n">
        <v>25.14</v>
      </c>
    </row>
    <row r="5">
      <c r="A5" s="6" t="inlineStr">
        <is>
          <t>宝马</t>
        </is>
      </c>
      <c r="B5" s="6" t="n">
        <v>348307.72</v>
      </c>
      <c r="C5" s="6" t="n">
        <v>10442</v>
      </c>
      <c r="D5" s="6" t="n">
        <v>33.36</v>
      </c>
    </row>
    <row r="6">
      <c r="A6" s="6" t="inlineStr">
        <is>
          <t>奔驰</t>
        </is>
      </c>
      <c r="B6" s="6" t="n">
        <v>347894.83</v>
      </c>
      <c r="C6" s="6" t="n">
        <v>10581</v>
      </c>
      <c r="D6" s="6" t="n">
        <v>32.88</v>
      </c>
    </row>
    <row r="7">
      <c r="A7" s="6" t="inlineStr">
        <is>
          <t>比亚迪</t>
        </is>
      </c>
      <c r="B7" s="6" t="n">
        <v>235841.75</v>
      </c>
      <c r="C7" s="6" t="n">
        <v>12049</v>
      </c>
      <c r="D7" s="6" t="n">
        <v>19.57</v>
      </c>
    </row>
    <row r="8">
      <c r="A8" s="6" t="inlineStr">
        <is>
          <t>丰田</t>
        </is>
      </c>
      <c r="B8" s="6" t="n">
        <v>223812.75</v>
      </c>
      <c r="C8" s="6" t="n">
        <v>12174</v>
      </c>
      <c r="D8" s="6" t="n">
        <v>18.38</v>
      </c>
    </row>
    <row r="9">
      <c r="A9" s="6" t="inlineStr">
        <is>
          <t>本田</t>
        </is>
      </c>
      <c r="B9" s="6" t="n">
        <v>202865.6</v>
      </c>
      <c r="C9" s="6" t="n">
        <v>12124</v>
      </c>
      <c r="D9" s="6" t="n">
        <v>16.73</v>
      </c>
    </row>
    <row r="10">
      <c r="A10" s="6" t="inlineStr">
        <is>
          <t>日产</t>
        </is>
      </c>
      <c r="B10" s="6" t="n">
        <v>108493.79</v>
      </c>
      <c r="C10" s="6" t="n">
        <v>8711</v>
      </c>
      <c r="D10" s="6" t="n">
        <v>12.45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2026-10-20T03:43:14Z</dcterms:created>
  <dcterms:modified xsi:type="dcterms:W3CDTF">2026-10-20T03:43:15Z</dcterms:modified>
</cp:coreProperties>
</file>